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图1_转化漏斗" sheetId="1" state="visible" r:id="rId1"/>
    <sheet name="图2_月度GMV趋势" sheetId="2" state="visible" r:id="rId2"/>
    <sheet name="图3_RFM分层" sheetId="3" state="visible" r:id="rId3"/>
    <sheet name="图4_时段活跃与下单" sheetId="4" state="visible" r:id="rId4"/>
    <sheet name="图5_留存曲线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四级转化漏斗（去重人数）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'图1_转化漏斗'!B1</f>
            </strRef>
          </tx>
          <spPr>
            <a:ln>
              <a:prstDash val="solid"/>
            </a:ln>
          </spPr>
          <cat>
            <numRef>
              <f>'图1_转化漏斗'!$A$2:$A$5</f>
            </numRef>
          </cat>
          <val>
            <numRef>
              <f>'图1_转化漏斗'!$B$2:$B$5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环节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人数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月度 GMV 趋势</a:t>
            </a:r>
          </a:p>
        </rich>
      </tx>
    </title>
    <plotArea>
      <lineChart>
        <grouping val="standard"/>
        <ser>
          <idx val="0"/>
          <order val="0"/>
          <tx>
            <strRef>
              <f>'图2_月度GMV趋势'!B1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'图2_月度GMV趋势'!$A$2:$A$14</f>
            </numRef>
          </cat>
          <val>
            <numRef>
              <f>'图2_月度GMV趋势'!$B$2:$B$14</f>
            </numRef>
          </val>
        </ser>
        <dLbls>
          <showVal val="0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GMV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RFM 各分层贡献金额占比</a:t>
            </a:r>
          </a:p>
        </rich>
      </tx>
    </title>
    <plotArea>
      <pieChart>
        <varyColors val="1"/>
        <ser>
          <idx val="0"/>
          <order val="0"/>
          <tx>
            <strRef>
              <f>'图3_RFM分层'!C1</f>
            </strRef>
          </tx>
          <spPr>
            <a:ln>
              <a:prstDash val="solid"/>
            </a:ln>
          </spPr>
          <cat>
            <numRef>
              <f>'图3_RFM分层'!$A$2:$A$9</f>
            </numRef>
          </cat>
          <val>
            <numRef>
              <f>'图3_RFM分层'!$C$2:$C$9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各时段活跃度与下单次数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'图4_时段活跃与下单'!B1</f>
            </strRef>
          </tx>
          <spPr>
            <a:ln>
              <a:prstDash val="solid"/>
            </a:ln>
          </spPr>
          <cat>
            <numRef>
              <f>'图4_时段活跃与下单'!$A$2:$A$25</f>
            </numRef>
          </cat>
          <val>
            <numRef>
              <f>'图4_时段活跃与下单'!$B$2:$B$25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'图4_时段活跃与下单'!D1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'图4_时段活跃与下单'!$D$2:$D$25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时段（小时）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行为次数</a:t>
                </a:r>
              </a:p>
            </rich>
          </tx>
        </title>
        <majorTickMark val="none"/>
        <minorTickMark val="none"/>
        <crossAx val="10"/>
        <crosses val="autoZero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下单次数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用户留存曲线（第 0–7 日）</a:t>
            </a:r>
          </a:p>
        </rich>
      </tx>
    </title>
    <plotArea>
      <lineChart>
        <grouping val="standard"/>
        <ser>
          <idx val="0"/>
          <order val="0"/>
          <tx>
            <strRef>
              <f>'图5_留存曲线'!B1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'图5_留存曲线'!$A$2:$A$9</f>
            </numRef>
          </cat>
          <val>
            <numRef>
              <f>'图5_留存曲线'!$B$2:$B$9</f>
            </numRef>
          </val>
        </ser>
        <dLbls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距离首次活跃天数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留存人数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环节</t>
        </is>
      </c>
      <c r="B1" t="inlineStr">
        <is>
          <t>人数</t>
        </is>
      </c>
    </row>
    <row r="2">
      <c r="A2" t="inlineStr">
        <is>
          <t>浏览</t>
        </is>
      </c>
      <c r="B2" t="n">
        <v>19462</v>
      </c>
    </row>
    <row r="3">
      <c r="A3" t="inlineStr">
        <is>
          <t>兴趣（收藏/加购）</t>
        </is>
      </c>
      <c r="B3" t="n">
        <v>17020</v>
      </c>
    </row>
    <row r="4">
      <c r="A4" t="inlineStr">
        <is>
          <t>加购</t>
        </is>
      </c>
      <c r="B4" t="n">
        <v>14638</v>
      </c>
    </row>
    <row r="5">
      <c r="A5" t="inlineStr">
        <is>
          <t>下单</t>
        </is>
      </c>
      <c r="B5" t="n">
        <v>13282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GMV</t>
        </is>
      </c>
      <c r="C1" t="inlineStr">
        <is>
          <t>订单数</t>
        </is>
      </c>
    </row>
    <row r="2">
      <c r="A2" t="inlineStr">
        <is>
          <t>2010-12</t>
        </is>
      </c>
      <c r="B2" t="n">
        <v>572713.89</v>
      </c>
      <c r="C2" t="n">
        <v>1400</v>
      </c>
    </row>
    <row r="3">
      <c r="A3" t="inlineStr">
        <is>
          <t>2011-01</t>
        </is>
      </c>
      <c r="B3" t="n">
        <v>569445.04</v>
      </c>
      <c r="C3" t="n">
        <v>987</v>
      </c>
    </row>
    <row r="4">
      <c r="A4" t="inlineStr">
        <is>
          <t>2011-02</t>
        </is>
      </c>
      <c r="B4" t="n">
        <v>447137.35</v>
      </c>
      <c r="C4" t="n">
        <v>997</v>
      </c>
    </row>
    <row r="5">
      <c r="A5" t="inlineStr">
        <is>
          <t>2011-03</t>
        </is>
      </c>
      <c r="B5" t="n">
        <v>595500.76</v>
      </c>
      <c r="C5" t="n">
        <v>1321</v>
      </c>
    </row>
    <row r="6">
      <c r="A6" t="inlineStr">
        <is>
          <t>2011-04</t>
        </is>
      </c>
      <c r="B6" t="n">
        <v>469200.36</v>
      </c>
      <c r="C6" t="n">
        <v>1149</v>
      </c>
    </row>
    <row r="7">
      <c r="A7" t="inlineStr">
        <is>
          <t>2011-05</t>
        </is>
      </c>
      <c r="B7" t="n">
        <v>678594.5600000001</v>
      </c>
      <c r="C7" t="n">
        <v>1555</v>
      </c>
    </row>
    <row r="8">
      <c r="A8" t="inlineStr">
        <is>
          <t>2011-06</t>
        </is>
      </c>
      <c r="B8" t="n">
        <v>661213.6899999999</v>
      </c>
      <c r="C8" t="n">
        <v>1393</v>
      </c>
    </row>
    <row r="9">
      <c r="A9" t="inlineStr">
        <is>
          <t>2011-07</t>
        </is>
      </c>
      <c r="B9" t="n">
        <v>600091.01</v>
      </c>
      <c r="C9" t="n">
        <v>1331</v>
      </c>
    </row>
    <row r="10">
      <c r="A10" t="inlineStr">
        <is>
          <t>2011-08</t>
        </is>
      </c>
      <c r="B10" t="n">
        <v>645343.9</v>
      </c>
      <c r="C10" t="n">
        <v>1280</v>
      </c>
    </row>
    <row r="11">
      <c r="A11" t="inlineStr">
        <is>
          <t>2011-09</t>
        </is>
      </c>
      <c r="B11" t="n">
        <v>952838.38</v>
      </c>
      <c r="C11" t="n">
        <v>1755</v>
      </c>
    </row>
    <row r="12">
      <c r="A12" t="inlineStr">
        <is>
          <t>2011-10</t>
        </is>
      </c>
      <c r="B12" t="n">
        <v>1039318.79</v>
      </c>
      <c r="C12" t="n">
        <v>1929</v>
      </c>
    </row>
    <row r="13">
      <c r="A13" t="inlineStr">
        <is>
          <t>2011-11</t>
        </is>
      </c>
      <c r="B13" t="n">
        <v>1161817.38</v>
      </c>
      <c r="C13" t="n">
        <v>2657</v>
      </c>
    </row>
    <row r="14">
      <c r="A14" t="inlineStr">
        <is>
          <t>2011-12</t>
        </is>
      </c>
      <c r="B14" t="n">
        <v>518192.79</v>
      </c>
      <c r="C14" t="n">
        <v>778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客户分层</t>
        </is>
      </c>
      <c r="B1" t="inlineStr">
        <is>
          <t>人数</t>
        </is>
      </c>
      <c r="C1" t="inlineStr">
        <is>
          <t>贡献金额</t>
        </is>
      </c>
    </row>
    <row r="2">
      <c r="A2" t="inlineStr">
        <is>
          <t>重要价值客户</t>
        </is>
      </c>
      <c r="B2" t="n">
        <v>994</v>
      </c>
      <c r="C2" t="n">
        <v>5830423.55</v>
      </c>
    </row>
    <row r="3">
      <c r="A3" t="inlineStr">
        <is>
          <t>重要保持客户</t>
        </is>
      </c>
      <c r="B3" t="n">
        <v>391</v>
      </c>
      <c r="C3" t="n">
        <v>1122832.28</v>
      </c>
    </row>
    <row r="4">
      <c r="A4" t="inlineStr">
        <is>
          <t>重要挽留客户</t>
        </is>
      </c>
      <c r="B4" t="n">
        <v>287</v>
      </c>
      <c r="C4" t="n">
        <v>655810.77</v>
      </c>
    </row>
    <row r="5">
      <c r="A5" t="inlineStr">
        <is>
          <t>一般挽留客户</t>
        </is>
      </c>
      <c r="B5" t="n">
        <v>1792</v>
      </c>
      <c r="C5" t="n">
        <v>642394.4399999999</v>
      </c>
    </row>
    <row r="6">
      <c r="A6" t="inlineStr">
        <is>
          <t>重要发展客户</t>
        </is>
      </c>
      <c r="B6" t="n">
        <v>62</v>
      </c>
      <c r="C6" t="n">
        <v>258697.35</v>
      </c>
    </row>
    <row r="7">
      <c r="A7" t="inlineStr">
        <is>
          <t>一般发展客户</t>
        </is>
      </c>
      <c r="B7" t="n">
        <v>463</v>
      </c>
      <c r="C7" t="n">
        <v>173691.64</v>
      </c>
    </row>
    <row r="8">
      <c r="A8" t="inlineStr">
        <is>
          <t>一般价值客户</t>
        </is>
      </c>
      <c r="B8" t="n">
        <v>215</v>
      </c>
      <c r="C8" t="n">
        <v>142978.94</v>
      </c>
    </row>
    <row r="9">
      <c r="A9" t="inlineStr">
        <is>
          <t>一般保持客户</t>
        </is>
      </c>
      <c r="B9" t="n">
        <v>134</v>
      </c>
      <c r="C9" t="n">
        <v>84578.92999999999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时段</t>
        </is>
      </c>
      <c r="B1" t="inlineStr">
        <is>
          <t>行为次数</t>
        </is>
      </c>
      <c r="C1" t="inlineStr">
        <is>
          <t>活跃人数</t>
        </is>
      </c>
      <c r="D1" t="inlineStr">
        <is>
          <t>下单次数</t>
        </is>
      </c>
    </row>
    <row r="2">
      <c r="A2" t="n">
        <v>0</v>
      </c>
      <c r="B2" t="n">
        <v>68038</v>
      </c>
      <c r="C2" t="n">
        <v>8802</v>
      </c>
      <c r="D2" t="n">
        <v>1249</v>
      </c>
    </row>
    <row r="3">
      <c r="A3" t="n">
        <v>1</v>
      </c>
      <c r="B3" t="n">
        <v>83311</v>
      </c>
      <c r="C3" t="n">
        <v>10367</v>
      </c>
      <c r="D3" t="n">
        <v>1884</v>
      </c>
    </row>
    <row r="4">
      <c r="A4" t="n">
        <v>2</v>
      </c>
      <c r="B4" t="n">
        <v>96797</v>
      </c>
      <c r="C4" t="n">
        <v>11482</v>
      </c>
      <c r="D4" t="n">
        <v>2484</v>
      </c>
    </row>
    <row r="5">
      <c r="A5" t="n">
        <v>3</v>
      </c>
      <c r="B5" t="n">
        <v>95736</v>
      </c>
      <c r="C5" t="n">
        <v>11681</v>
      </c>
      <c r="D5" t="n">
        <v>2512</v>
      </c>
    </row>
    <row r="6">
      <c r="A6" t="n">
        <v>4</v>
      </c>
      <c r="B6" t="n">
        <v>96529</v>
      </c>
      <c r="C6" t="n">
        <v>11819</v>
      </c>
      <c r="D6" t="n">
        <v>2430</v>
      </c>
    </row>
    <row r="7">
      <c r="A7" t="n">
        <v>5</v>
      </c>
      <c r="B7" t="n">
        <v>105767</v>
      </c>
      <c r="C7" t="n">
        <v>12050</v>
      </c>
      <c r="D7" t="n">
        <v>2573</v>
      </c>
    </row>
    <row r="8">
      <c r="A8" t="n">
        <v>6</v>
      </c>
      <c r="B8" t="n">
        <v>101989</v>
      </c>
      <c r="C8" t="n">
        <v>11731</v>
      </c>
      <c r="D8" t="n">
        <v>2332</v>
      </c>
    </row>
    <row r="9">
      <c r="A9" t="n">
        <v>7</v>
      </c>
      <c r="B9" t="n">
        <v>106194</v>
      </c>
      <c r="C9" t="n">
        <v>11978</v>
      </c>
      <c r="D9" t="n">
        <v>2474</v>
      </c>
    </row>
    <row r="10">
      <c r="A10" t="n">
        <v>8</v>
      </c>
      <c r="B10" t="n">
        <v>103419</v>
      </c>
      <c r="C10" t="n">
        <v>11870</v>
      </c>
      <c r="D10" t="n">
        <v>2345</v>
      </c>
    </row>
    <row r="11">
      <c r="A11" t="n">
        <v>9</v>
      </c>
      <c r="B11" t="n">
        <v>93399</v>
      </c>
      <c r="C11" t="n">
        <v>11541</v>
      </c>
      <c r="D11" t="n">
        <v>2069</v>
      </c>
    </row>
    <row r="12">
      <c r="A12" t="n">
        <v>10</v>
      </c>
      <c r="B12" t="n">
        <v>95577</v>
      </c>
      <c r="C12" t="n">
        <v>11492</v>
      </c>
      <c r="D12" t="n">
        <v>1868</v>
      </c>
    </row>
    <row r="13">
      <c r="A13" t="n">
        <v>11</v>
      </c>
      <c r="B13" t="n">
        <v>120516</v>
      </c>
      <c r="C13" t="n">
        <v>12424</v>
      </c>
      <c r="D13" t="n">
        <v>2326</v>
      </c>
    </row>
    <row r="14">
      <c r="A14" t="n">
        <v>12</v>
      </c>
      <c r="B14" t="n">
        <v>146447</v>
      </c>
      <c r="C14" t="n">
        <v>13130</v>
      </c>
      <c r="D14" t="n">
        <v>2686</v>
      </c>
    </row>
    <row r="15">
      <c r="A15" t="n">
        <v>13</v>
      </c>
      <c r="B15" t="n">
        <v>166231</v>
      </c>
      <c r="C15" t="n">
        <v>13441</v>
      </c>
      <c r="D15" t="n">
        <v>2799</v>
      </c>
    </row>
    <row r="16">
      <c r="A16" t="n">
        <v>14</v>
      </c>
      <c r="B16" t="n">
        <v>166193</v>
      </c>
      <c r="C16" t="n">
        <v>12895</v>
      </c>
      <c r="D16" t="n">
        <v>2766</v>
      </c>
    </row>
    <row r="17">
      <c r="A17" t="n">
        <v>15</v>
      </c>
      <c r="B17" t="n">
        <v>126901</v>
      </c>
      <c r="C17" t="n">
        <v>10187</v>
      </c>
      <c r="D17" t="n">
        <v>1986</v>
      </c>
    </row>
    <row r="18">
      <c r="A18" t="n">
        <v>16</v>
      </c>
      <c r="B18" t="n">
        <v>60807</v>
      </c>
      <c r="C18" t="n">
        <v>5943</v>
      </c>
      <c r="D18" t="n">
        <v>1057</v>
      </c>
    </row>
    <row r="19">
      <c r="A19" t="n">
        <v>17</v>
      </c>
      <c r="B19" t="n">
        <v>27386</v>
      </c>
      <c r="C19" t="n">
        <v>3000</v>
      </c>
      <c r="D19" t="n">
        <v>434</v>
      </c>
    </row>
    <row r="20">
      <c r="A20" t="n">
        <v>18</v>
      </c>
      <c r="B20" t="n">
        <v>15587</v>
      </c>
      <c r="C20" t="n">
        <v>1771</v>
      </c>
      <c r="D20" t="n">
        <v>250</v>
      </c>
    </row>
    <row r="21">
      <c r="A21" t="n">
        <v>19</v>
      </c>
      <c r="B21" t="n">
        <v>11507</v>
      </c>
      <c r="C21" t="n">
        <v>1291</v>
      </c>
      <c r="D21" t="n">
        <v>117</v>
      </c>
    </row>
    <row r="22">
      <c r="A22" t="n">
        <v>20</v>
      </c>
      <c r="B22" t="n">
        <v>9617</v>
      </c>
      <c r="C22" t="n">
        <v>1132</v>
      </c>
      <c r="D22" t="n">
        <v>145</v>
      </c>
    </row>
    <row r="23">
      <c r="A23" t="n">
        <v>21</v>
      </c>
      <c r="B23" t="n">
        <v>10948</v>
      </c>
      <c r="C23" t="n">
        <v>1491</v>
      </c>
      <c r="D23" t="n">
        <v>141</v>
      </c>
    </row>
    <row r="24">
      <c r="A24" t="n">
        <v>22</v>
      </c>
      <c r="B24" t="n">
        <v>23107</v>
      </c>
      <c r="C24" t="n">
        <v>3234</v>
      </c>
      <c r="D24" t="n">
        <v>318</v>
      </c>
    </row>
    <row r="25">
      <c r="A25" t="n">
        <v>23</v>
      </c>
      <c r="B25" t="n">
        <v>43346</v>
      </c>
      <c r="C25" t="n">
        <v>5998</v>
      </c>
      <c r="D25" t="n">
        <v>662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第N日</t>
        </is>
      </c>
      <c r="B1" t="inlineStr">
        <is>
          <t>留存人数</t>
        </is>
      </c>
    </row>
    <row r="2">
      <c r="A2" t="n">
        <v>0</v>
      </c>
      <c r="B2" t="n">
        <v>19543</v>
      </c>
    </row>
    <row r="3">
      <c r="A3" t="n">
        <v>1</v>
      </c>
      <c r="B3" t="n">
        <v>14585</v>
      </c>
    </row>
    <row r="4">
      <c r="A4" t="n">
        <v>2</v>
      </c>
      <c r="B4" t="n">
        <v>14283</v>
      </c>
    </row>
    <row r="5">
      <c r="A5" t="n">
        <v>3</v>
      </c>
      <c r="B5" t="n">
        <v>14477</v>
      </c>
    </row>
    <row r="6">
      <c r="A6" t="n">
        <v>4</v>
      </c>
      <c r="B6" t="n">
        <v>14495</v>
      </c>
    </row>
    <row r="7">
      <c r="A7" t="n">
        <v>5</v>
      </c>
      <c r="B7" t="n">
        <v>14688</v>
      </c>
    </row>
    <row r="8">
      <c r="A8" t="n">
        <v>6</v>
      </c>
      <c r="B8" t="n">
        <v>15182</v>
      </c>
    </row>
    <row r="9">
      <c r="A9" t="n">
        <v>7</v>
      </c>
      <c r="B9" t="n">
        <v>16335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2026-09-30T16:26:56Z</dcterms:created>
  <dcterms:modified xsi:type="dcterms:W3CDTF">2026-09-30T16:27:19Z</dcterms:modified>
</cp:coreProperties>
</file>